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185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4" i="2"/>
  <c r="G5" i="2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  <c r="H5" i="1"/>
  <c r="H6" i="1"/>
  <c r="H7" i="1"/>
  <c r="H8" i="1"/>
  <c r="H9" i="1"/>
  <c r="H10" i="1"/>
  <c r="H11" i="1"/>
  <c r="H4" i="1"/>
  <c r="G5" i="1"/>
  <c r="G6" i="1"/>
  <c r="G7" i="1"/>
  <c r="G8" i="1"/>
  <c r="G9" i="1"/>
  <c r="G10" i="1"/>
  <c r="G11" i="1"/>
  <c r="G4" i="1"/>
  <c r="F5" i="1"/>
  <c r="F6" i="1"/>
  <c r="F7" i="1"/>
  <c r="F8" i="1"/>
  <c r="F9" i="1"/>
  <c r="F10" i="1"/>
  <c r="F11" i="1"/>
  <c r="F4" i="1"/>
</calcChain>
</file>

<file path=xl/sharedStrings.xml><?xml version="1.0" encoding="utf-8"?>
<sst xmlns="http://schemas.openxmlformats.org/spreadsheetml/2006/main" count="50" uniqueCount="32">
  <si>
    <t>BẢNG KÊ NHẬP - XUẤT HÀNG</t>
  </si>
  <si>
    <t>STT</t>
  </si>
  <si>
    <t>Tên hàng</t>
  </si>
  <si>
    <t>Đơn vị tính</t>
  </si>
  <si>
    <t xml:space="preserve">Đơn giá nhập </t>
  </si>
  <si>
    <t>Số lượng</t>
  </si>
  <si>
    <t>Thành tiền</t>
  </si>
  <si>
    <t>Đơn giá xuất</t>
  </si>
  <si>
    <t>Đường</t>
  </si>
  <si>
    <t>kg</t>
  </si>
  <si>
    <t>Trứng</t>
  </si>
  <si>
    <t>chục</t>
  </si>
  <si>
    <t>Bơ</t>
  </si>
  <si>
    <t>Sữa</t>
  </si>
  <si>
    <t>Hộp</t>
  </si>
  <si>
    <t>Muối</t>
  </si>
  <si>
    <t>Gạo</t>
  </si>
  <si>
    <t>Nước tương</t>
  </si>
  <si>
    <t>Chai</t>
  </si>
  <si>
    <t>Bột mì</t>
  </si>
  <si>
    <t xml:space="preserve">Phí vận chuyển </t>
  </si>
  <si>
    <t>BẢNG THỐNG KÊ- XUẤT HÀNG</t>
  </si>
  <si>
    <t>Đơn nhập giá</t>
  </si>
  <si>
    <t>Đơn xuất hàng</t>
  </si>
  <si>
    <t xml:space="preserve">Đường </t>
  </si>
  <si>
    <t>sữa</t>
  </si>
  <si>
    <t xml:space="preserve">Muối </t>
  </si>
  <si>
    <t xml:space="preserve">Gạo </t>
  </si>
  <si>
    <t>Nước  tương</t>
  </si>
  <si>
    <t>hộp</t>
  </si>
  <si>
    <t>chai</t>
  </si>
  <si>
    <t>phí vận chuyễn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</si>
</sst>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M11" sqref="M11"/>
    </sheetView>
  </sheetViews>
  <sheetFormatPr defaultRowHeight="15" x14ac:dyDescent="0.25"/>
  <cols>
    <col min="2" max="2" width="11.28515625" customWidth="1"/>
    <col min="3" max="3" width="10" customWidth="1"/>
    <col min="4" max="4" width="12.7109375" customWidth="1"/>
    <col min="6" max="6" width="15.42578125" customWidth="1"/>
    <col min="7" max="7" width="11" customWidth="1"/>
    <col min="8" max="8" width="11.7109375" customWidth="1"/>
  </cols>
  <sheetData>
    <row r="1" spans="1:8" x14ac:dyDescent="0.25">
      <c r="C1" t="s">
        <v>0</v>
      </c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20</v>
      </c>
      <c r="G3" s="1" t="s">
        <v>6</v>
      </c>
      <c r="H3" s="1" t="s">
        <v>7</v>
      </c>
    </row>
    <row r="4" spans="1:8" x14ac:dyDescent="0.25">
      <c r="A4" s="1">
        <v>1</v>
      </c>
      <c r="B4" s="1" t="s">
        <v>8</v>
      </c>
      <c r="C4" s="1" t="s">
        <v>9</v>
      </c>
      <c r="D4" s="1">
        <v>20000</v>
      </c>
      <c r="E4" s="1">
        <v>150</v>
      </c>
      <c r="F4" s="1">
        <f>D4*E4*5%</f>
        <v>150000</v>
      </c>
      <c r="G4" s="1">
        <f>D4*E4+F4</f>
        <v>3150000</v>
      </c>
      <c r="H4" s="1">
        <f>(G4+10%*G4)/E4</f>
        <v>23100</v>
      </c>
    </row>
    <row r="5" spans="1:8" x14ac:dyDescent="0.25">
      <c r="A5" s="1">
        <v>2</v>
      </c>
      <c r="B5" s="1" t="s">
        <v>10</v>
      </c>
      <c r="C5" s="1" t="s">
        <v>11</v>
      </c>
      <c r="D5" s="1">
        <v>17000</v>
      </c>
      <c r="E5" s="1">
        <v>230</v>
      </c>
      <c r="F5" s="1">
        <f t="shared" ref="F5:F11" si="0">D5*E5*5%</f>
        <v>195500</v>
      </c>
      <c r="G5" s="1">
        <f t="shared" ref="G5:G11" si="1">D5*E5+F5</f>
        <v>4105500</v>
      </c>
      <c r="H5" s="1">
        <f t="shared" ref="H5:H11" si="2">(G5+10%*G5)/E5</f>
        <v>19635</v>
      </c>
    </row>
    <row r="6" spans="1:8" x14ac:dyDescent="0.25">
      <c r="A6" s="1">
        <v>3</v>
      </c>
      <c r="B6" s="1" t="s">
        <v>12</v>
      </c>
      <c r="C6" s="1" t="s">
        <v>9</v>
      </c>
      <c r="D6" s="1">
        <v>7000</v>
      </c>
      <c r="E6" s="1">
        <v>115</v>
      </c>
      <c r="F6" s="1">
        <f t="shared" si="0"/>
        <v>40250</v>
      </c>
      <c r="G6" s="1">
        <f t="shared" si="1"/>
        <v>845250</v>
      </c>
      <c r="H6" s="1">
        <f t="shared" si="2"/>
        <v>8085</v>
      </c>
    </row>
    <row r="7" spans="1:8" x14ac:dyDescent="0.25">
      <c r="A7" s="1">
        <v>4</v>
      </c>
      <c r="B7" s="1" t="s">
        <v>13</v>
      </c>
      <c r="C7" s="1" t="s">
        <v>14</v>
      </c>
      <c r="D7" s="1">
        <v>30000</v>
      </c>
      <c r="E7" s="1">
        <v>360</v>
      </c>
      <c r="F7" s="1">
        <f t="shared" si="0"/>
        <v>540000</v>
      </c>
      <c r="G7" s="1">
        <f t="shared" si="1"/>
        <v>11340000</v>
      </c>
      <c r="H7" s="1">
        <f t="shared" si="2"/>
        <v>34650</v>
      </c>
    </row>
    <row r="8" spans="1:8" x14ac:dyDescent="0.25">
      <c r="A8" s="1">
        <v>5</v>
      </c>
      <c r="B8" s="1" t="s">
        <v>15</v>
      </c>
      <c r="C8" s="1" t="s">
        <v>9</v>
      </c>
      <c r="D8" s="1">
        <v>10000</v>
      </c>
      <c r="E8" s="1">
        <v>95</v>
      </c>
      <c r="F8" s="1">
        <f t="shared" si="0"/>
        <v>47500</v>
      </c>
      <c r="G8" s="1">
        <f t="shared" si="1"/>
        <v>997500</v>
      </c>
      <c r="H8" s="1">
        <f t="shared" si="2"/>
        <v>11550</v>
      </c>
    </row>
    <row r="9" spans="1:8" x14ac:dyDescent="0.25">
      <c r="A9" s="1">
        <v>6</v>
      </c>
      <c r="B9" s="1" t="s">
        <v>16</v>
      </c>
      <c r="C9" s="1" t="s">
        <v>9</v>
      </c>
      <c r="D9" s="1">
        <v>13000</v>
      </c>
      <c r="E9" s="1">
        <v>650</v>
      </c>
      <c r="F9" s="1">
        <f t="shared" si="0"/>
        <v>422500</v>
      </c>
      <c r="G9" s="1">
        <f t="shared" si="1"/>
        <v>8872500</v>
      </c>
      <c r="H9" s="1">
        <f t="shared" si="2"/>
        <v>15015</v>
      </c>
    </row>
    <row r="10" spans="1:8" x14ac:dyDescent="0.25">
      <c r="A10" s="1">
        <v>7</v>
      </c>
      <c r="B10" s="1" t="s">
        <v>17</v>
      </c>
      <c r="C10" s="1" t="s">
        <v>18</v>
      </c>
      <c r="D10" s="1">
        <v>6500</v>
      </c>
      <c r="E10" s="1">
        <v>270</v>
      </c>
      <c r="F10" s="1">
        <f t="shared" si="0"/>
        <v>87750</v>
      </c>
      <c r="G10" s="1">
        <f t="shared" si="1"/>
        <v>1842750</v>
      </c>
      <c r="H10" s="1">
        <f t="shared" si="2"/>
        <v>7507.5</v>
      </c>
    </row>
    <row r="11" spans="1:8" x14ac:dyDescent="0.25">
      <c r="A11" s="1">
        <v>8</v>
      </c>
      <c r="B11" s="1" t="s">
        <v>19</v>
      </c>
      <c r="C11" s="1" t="s">
        <v>9</v>
      </c>
      <c r="D11" s="1">
        <v>10000</v>
      </c>
      <c r="E11" s="1">
        <v>425</v>
      </c>
      <c r="F11" s="1">
        <f t="shared" si="0"/>
        <v>212500</v>
      </c>
      <c r="G11" s="1">
        <f t="shared" si="1"/>
        <v>4462500</v>
      </c>
      <c r="H11" s="1">
        <f t="shared" si="2"/>
        <v>11550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3" sqref="A3:H11"/>
    </sheetView>
  </sheetViews>
  <sheetFormatPr defaultRowHeight="15" x14ac:dyDescent="0.25"/>
  <cols>
    <col min="2" max="2" width="13.42578125" customWidth="1"/>
    <col min="3" max="3" width="10.5703125" bestFit="1" customWidth="1"/>
    <col min="4" max="4" width="12.42578125" customWidth="1"/>
    <col min="6" max="7" width="15.7109375" customWidth="1"/>
    <col min="8" max="8" width="14" customWidth="1"/>
  </cols>
  <sheetData>
    <row r="1" spans="1:8" x14ac:dyDescent="0.25">
      <c r="B1" t="s">
        <v>21</v>
      </c>
    </row>
    <row r="3" spans="1:8" x14ac:dyDescent="0.25">
      <c r="A3" s="1" t="s">
        <v>1</v>
      </c>
      <c r="B3" s="1" t="s">
        <v>2</v>
      </c>
      <c r="C3" s="1" t="s">
        <v>3</v>
      </c>
      <c r="D3" s="1" t="s">
        <v>22</v>
      </c>
      <c r="E3" s="1" t="s">
        <v>5</v>
      </c>
      <c r="F3" s="1" t="s">
        <v>31</v>
      </c>
      <c r="G3" s="1" t="s">
        <v>6</v>
      </c>
      <c r="H3" s="1" t="s">
        <v>23</v>
      </c>
    </row>
    <row r="4" spans="1:8" x14ac:dyDescent="0.25">
      <c r="A4" s="1">
        <v>1</v>
      </c>
      <c r="B4" s="1" t="s">
        <v>24</v>
      </c>
      <c r="C4" s="1" t="s">
        <v>9</v>
      </c>
      <c r="D4" s="1">
        <v>20000</v>
      </c>
      <c r="E4" s="1">
        <v>150</v>
      </c>
      <c r="F4" s="1">
        <f>D4*E4*5%</f>
        <v>150000</v>
      </c>
      <c r="G4" s="1">
        <f>D4*E4+F4</f>
        <v>3150000</v>
      </c>
      <c r="H4" s="1">
        <f>(G4+10%*G4)/E4</f>
        <v>23100</v>
      </c>
    </row>
    <row r="5" spans="1:8" x14ac:dyDescent="0.25">
      <c r="A5" s="1">
        <v>2</v>
      </c>
      <c r="B5" s="1" t="s">
        <v>10</v>
      </c>
      <c r="C5" s="1" t="s">
        <v>11</v>
      </c>
      <c r="D5" s="1">
        <v>17000</v>
      </c>
      <c r="E5" s="1">
        <v>230</v>
      </c>
      <c r="F5" s="1">
        <f t="shared" ref="F5:F11" si="0">D5*E5*5%</f>
        <v>195500</v>
      </c>
      <c r="G5" s="1">
        <f t="shared" ref="G5:G11" si="1">D5*E5+F5</f>
        <v>4105500</v>
      </c>
      <c r="H5" s="1">
        <f t="shared" ref="H5:H11" si="2">(G5+10%*G5)/E5</f>
        <v>19635</v>
      </c>
    </row>
    <row r="6" spans="1:8" x14ac:dyDescent="0.25">
      <c r="A6" s="1">
        <v>3</v>
      </c>
      <c r="B6" s="1" t="s">
        <v>12</v>
      </c>
      <c r="C6" s="1" t="s">
        <v>9</v>
      </c>
      <c r="D6" s="1">
        <v>70000</v>
      </c>
      <c r="E6" s="1">
        <v>115</v>
      </c>
      <c r="F6" s="1">
        <f t="shared" si="0"/>
        <v>402500</v>
      </c>
      <c r="G6" s="1">
        <f t="shared" si="1"/>
        <v>8452500</v>
      </c>
      <c r="H6" s="1">
        <f t="shared" si="2"/>
        <v>80850</v>
      </c>
    </row>
    <row r="7" spans="1:8" x14ac:dyDescent="0.25">
      <c r="A7" s="1">
        <v>4</v>
      </c>
      <c r="B7" s="1" t="s">
        <v>25</v>
      </c>
      <c r="C7" s="1" t="s">
        <v>29</v>
      </c>
      <c r="D7" s="1">
        <v>30000</v>
      </c>
      <c r="E7" s="1">
        <v>360</v>
      </c>
      <c r="F7" s="1">
        <f t="shared" si="0"/>
        <v>540000</v>
      </c>
      <c r="G7" s="1">
        <f t="shared" si="1"/>
        <v>11340000</v>
      </c>
      <c r="H7" s="1">
        <f t="shared" si="2"/>
        <v>34650</v>
      </c>
    </row>
    <row r="8" spans="1:8" x14ac:dyDescent="0.25">
      <c r="A8" s="1">
        <v>5</v>
      </c>
      <c r="B8" s="1" t="s">
        <v>26</v>
      </c>
      <c r="C8" s="1" t="s">
        <v>9</v>
      </c>
      <c r="D8" s="1">
        <v>10000</v>
      </c>
      <c r="E8" s="1">
        <v>95</v>
      </c>
      <c r="F8" s="1">
        <f t="shared" si="0"/>
        <v>47500</v>
      </c>
      <c r="G8" s="1">
        <f t="shared" si="1"/>
        <v>997500</v>
      </c>
      <c r="H8" s="1">
        <f t="shared" si="2"/>
        <v>11550</v>
      </c>
    </row>
    <row r="9" spans="1:8" x14ac:dyDescent="0.25">
      <c r="A9" s="1">
        <v>6</v>
      </c>
      <c r="B9" s="1" t="s">
        <v>27</v>
      </c>
      <c r="C9" s="1" t="s">
        <v>9</v>
      </c>
      <c r="D9" s="1">
        <v>13000</v>
      </c>
      <c r="E9" s="1">
        <v>650</v>
      </c>
      <c r="F9" s="1">
        <f t="shared" si="0"/>
        <v>422500</v>
      </c>
      <c r="G9" s="1">
        <f t="shared" si="1"/>
        <v>8872500</v>
      </c>
      <c r="H9" s="1">
        <f t="shared" si="2"/>
        <v>15015</v>
      </c>
    </row>
    <row r="10" spans="1:8" x14ac:dyDescent="0.25">
      <c r="A10" s="1">
        <v>7</v>
      </c>
      <c r="B10" s="1" t="s">
        <v>28</v>
      </c>
      <c r="C10" s="1" t="s">
        <v>30</v>
      </c>
      <c r="D10" s="1">
        <v>6500</v>
      </c>
      <c r="E10" s="1">
        <v>270</v>
      </c>
      <c r="F10" s="1">
        <f t="shared" si="0"/>
        <v>87750</v>
      </c>
      <c r="G10" s="1">
        <f t="shared" si="1"/>
        <v>1842750</v>
      </c>
      <c r="H10" s="1">
        <f t="shared" si="2"/>
        <v>7507.5</v>
      </c>
    </row>
    <row r="11" spans="1:8" x14ac:dyDescent="0.25">
      <c r="A11" s="1">
        <v>8</v>
      </c>
      <c r="B11" s="1" t="s">
        <v>19</v>
      </c>
      <c r="C11" s="1" t="s">
        <v>9</v>
      </c>
      <c r="D11" s="1">
        <v>10000</v>
      </c>
      <c r="E11" s="1">
        <v>425</v>
      </c>
      <c r="F11" s="1">
        <f t="shared" si="0"/>
        <v>212500</v>
      </c>
      <c r="G11" s="1">
        <f t="shared" si="1"/>
        <v>4462500</v>
      </c>
      <c r="H11" s="1">
        <f t="shared" si="2"/>
        <v>11550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www.blogthuthuatwin10.com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2018-10-20T08:03:51Z</dcterms:created>
  <dcterms:modified xsi:type="dcterms:W3CDTF">2018-10-20T08:43:04Z</dcterms:modified>
</cp:coreProperties>
</file>